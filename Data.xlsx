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faquet/Documents/GitHub/W10-Complexity-Analysis/"/>
    </mc:Choice>
  </mc:AlternateContent>
  <xr:revisionPtr revIDLastSave="0" documentId="8_{6DEB7A6F-9D7B-B542-9A99-15872DA56B12}" xr6:coauthVersionLast="47" xr6:coauthVersionMax="47" xr10:uidLastSave="{00000000-0000-0000-0000-000000000000}"/>
  <bookViews>
    <workbookView xWindow="380" yWindow="500" windowWidth="27400" windowHeight="16940" xr2:uid="{9E47A278-65D7-0F41-BB30-FA5BA3AB1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8" i="1" l="1" a="1"/>
  <c r="Q38" i="1" s="1"/>
  <c r="Q30" i="1" a="1"/>
  <c r="Q30" i="1" s="1"/>
  <c r="Q22" i="1" a="1"/>
  <c r="Q22" i="1" s="1"/>
  <c r="L38" i="1" a="1"/>
  <c r="L38" i="1" s="1"/>
  <c r="L30" i="1" a="1"/>
  <c r="L30" i="1" s="1"/>
  <c r="L22" i="1" a="1"/>
  <c r="L22" i="1" s="1"/>
  <c r="G38" i="1" a="1"/>
  <c r="G38" i="1" s="1"/>
  <c r="G30" i="1" a="1"/>
  <c r="G30" i="1" s="1"/>
  <c r="G22" i="1" a="1"/>
  <c r="G22" i="1" s="1"/>
  <c r="Q2" i="1" a="1"/>
  <c r="Q2" i="1" s="1"/>
  <c r="L2" i="1" a="1"/>
  <c r="L2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<sst xmlns="http://schemas.openxmlformats.org/spreadsheetml/2006/main" count="160" uniqueCount="10">
  <si>
    <t>algorithm</t>
  </si>
  <si>
    <t>inputType</t>
  </si>
  <si>
    <t>n</t>
  </si>
  <si>
    <t>avgMs</t>
  </si>
  <si>
    <t>selection</t>
  </si>
  <si>
    <t>random</t>
  </si>
  <si>
    <t>merge</t>
  </si>
  <si>
    <t>quick</t>
  </si>
  <si>
    <t>sorted</t>
  </si>
  <si>
    <t>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</si>
</sst>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</cellXfs>
  <cellStyles count="1">
    <cellStyle name="Normal" xfId="0" builtinId="0"/>
  </cellStyles>
  <dxfs count="6">
    <dxf>
      <numFmt numFmtId="1" formatCode="0"/>
      <alignment horizontal="left" vertical="bottom" textRotation="0" wrapText="0" indent="0" justifyLastLine="0" shrinkToFit="0" readingOrder="0"/>
    </dxf>
    <dxf>
      <numFmt numFmtId="168" formatCode="0.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9D8F7-1193-D24D-BD90-A37AB2B3E960}" name="Table1" displayName="Table1" ref="A1:D55" totalsRowShown="0" headerRowDxfId="3" dataDxfId="4">
  <autoFilter ref="A1:D55" xr:uid="{EB59D8F7-1193-D24D-BD90-A37AB2B3E960}"/>
  <tableColumns count="4">
    <tableColumn id="1" xr3:uid="{64B18ADB-60E8-BC4C-9E79-396838784597}" name="algorithm" dataDxfId="5"/>
    <tableColumn id="2" xr3:uid="{59F2B5D3-0921-1E46-B89A-E00DF82B574E}" name="inputType" dataDxfId="2"/>
    <tableColumn id="3" xr3:uid="{D77B34C3-69F2-AD47-8EBC-722E01901AB3}" name="n" dataDxfId="0"/>
    <tableColumn id="4" xr3:uid="{E3389E5D-C02B-0640-BFD4-052A24D0BB75}" name="avgM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F51E-5379-1140-864F-4DCDA0AFB73E}">
  <dimension ref="A1:T55"/>
  <sheetViews>
    <sheetView tabSelected="1" topLeftCell="A2" zoomScale="80" workbookViewId="0">
      <selection activeCell="Q39" sqref="Q39"/>
    </sheetView>
  </sheetViews>
  <sheetFormatPr baseColWidth="10" defaultRowHeight="16" x14ac:dyDescent="0.2"/>
  <cols>
    <col min="2" max="2" width="11.5" customWidth="1"/>
    <col min="3" max="3" width="11.6640625" customWidth="1"/>
    <col min="4" max="4" width="8.6640625" bestFit="1" customWidth="1"/>
    <col min="5" max="5" width="9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G1" s="3" t="s">
        <v>0</v>
      </c>
      <c r="H1" s="4" t="s">
        <v>1</v>
      </c>
      <c r="I1" s="4" t="s">
        <v>2</v>
      </c>
      <c r="J1" s="5" t="s">
        <v>3</v>
      </c>
      <c r="L1" s="3" t="s">
        <v>0</v>
      </c>
      <c r="M1" s="4" t="s">
        <v>1</v>
      </c>
      <c r="N1" s="4" t="s">
        <v>2</v>
      </c>
      <c r="O1" s="5" t="s">
        <v>3</v>
      </c>
      <c r="Q1" s="3" t="s">
        <v>0</v>
      </c>
      <c r="R1" s="4" t="s">
        <v>1</v>
      </c>
      <c r="S1" s="4" t="s">
        <v>2</v>
      </c>
      <c r="T1" s="5" t="s">
        <v>3</v>
      </c>
    </row>
    <row r="2" spans="1:20" x14ac:dyDescent="0.2">
      <c r="A2" s="2" t="s">
        <v>4</v>
      </c>
      <c r="B2" s="1" t="s">
        <v>5</v>
      </c>
      <c r="C2" s="7">
        <v>1000</v>
      </c>
      <c r="D2" s="6">
        <v>1.3620000000000001</v>
      </c>
      <c r="G2" t="str" cm="1">
        <f t="array" ref="G2:J19">_xlfn._xlws.FILTER(Table1[], Table1[algorithm]="selection")</f>
        <v>selection</v>
      </c>
      <c r="H2" t="str">
        <v>random</v>
      </c>
      <c r="I2">
        <v>1000</v>
      </c>
      <c r="J2">
        <v>1.3620000000000001</v>
      </c>
      <c r="L2" t="str" cm="1">
        <f t="array" ref="L2:O19">_xlfn._xlws.FILTER(Table1[], Table1[algorithm]="merge")</f>
        <v>merge</v>
      </c>
      <c r="M2" t="str">
        <v>random</v>
      </c>
      <c r="N2">
        <v>1000</v>
      </c>
      <c r="O2">
        <v>0.32900000000000001</v>
      </c>
      <c r="Q2" t="str" cm="1">
        <f t="array" ref="Q2:T19">_xlfn._xlws.FILTER(Table1[], Table1[algorithm]="quick")</f>
        <v>quick</v>
      </c>
      <c r="R2" t="str">
        <v>random</v>
      </c>
      <c r="S2">
        <v>1000</v>
      </c>
      <c r="T2">
        <v>0.27200000000000002</v>
      </c>
    </row>
    <row r="3" spans="1:20" x14ac:dyDescent="0.2">
      <c r="A3" s="1" t="s">
        <v>6</v>
      </c>
      <c r="B3" s="1" t="s">
        <v>5</v>
      </c>
      <c r="C3" s="7">
        <v>1000</v>
      </c>
      <c r="D3" s="6">
        <v>0.32900000000000001</v>
      </c>
      <c r="G3" t="str">
        <v>selection</v>
      </c>
      <c r="H3" s="1" t="str">
        <v>sorted</v>
      </c>
      <c r="I3">
        <v>1000</v>
      </c>
      <c r="J3">
        <v>0.188</v>
      </c>
      <c r="L3" t="str">
        <v>merge</v>
      </c>
      <c r="M3" t="str">
        <v>sorted</v>
      </c>
      <c r="N3">
        <v>1000</v>
      </c>
      <c r="O3">
        <v>1.9E-2</v>
      </c>
      <c r="Q3" t="str">
        <v>quick</v>
      </c>
      <c r="R3" t="str">
        <v>sorted</v>
      </c>
      <c r="S3">
        <v>1000</v>
      </c>
      <c r="T3">
        <v>0.32400000000000001</v>
      </c>
    </row>
    <row r="4" spans="1:20" x14ac:dyDescent="0.2">
      <c r="A4" s="1" t="s">
        <v>7</v>
      </c>
      <c r="B4" s="1" t="s">
        <v>5</v>
      </c>
      <c r="C4" s="7">
        <v>1000</v>
      </c>
      <c r="D4" s="6">
        <v>0.27200000000000002</v>
      </c>
      <c r="G4" t="str">
        <v>selection</v>
      </c>
      <c r="H4" s="1" t="str">
        <v>reversed</v>
      </c>
      <c r="I4">
        <v>1000</v>
      </c>
      <c r="J4">
        <v>0.20899999999999999</v>
      </c>
      <c r="L4" t="str">
        <v>merge</v>
      </c>
      <c r="M4" t="str">
        <v>reversed</v>
      </c>
      <c r="N4">
        <v>1000</v>
      </c>
      <c r="O4">
        <v>0.30399999999999999</v>
      </c>
      <c r="Q4" t="str">
        <v>quick</v>
      </c>
      <c r="R4" t="str">
        <v>reversed</v>
      </c>
      <c r="S4">
        <v>1000</v>
      </c>
      <c r="T4">
        <v>0.25</v>
      </c>
    </row>
    <row r="5" spans="1:20" x14ac:dyDescent="0.2">
      <c r="A5" s="1" t="s">
        <v>4</v>
      </c>
      <c r="B5" s="1" t="s">
        <v>8</v>
      </c>
      <c r="C5" s="7">
        <v>1000</v>
      </c>
      <c r="D5" s="6">
        <v>0.188</v>
      </c>
      <c r="G5" t="str">
        <v>selection</v>
      </c>
      <c r="H5" s="1" t="str">
        <v>random</v>
      </c>
      <c r="I5">
        <v>3000</v>
      </c>
      <c r="J5">
        <v>1.746</v>
      </c>
      <c r="L5" t="str">
        <v>merge</v>
      </c>
      <c r="M5" t="str">
        <v>random</v>
      </c>
      <c r="N5">
        <v>3000</v>
      </c>
      <c r="O5">
        <v>0.20399999999999999</v>
      </c>
      <c r="Q5" t="str">
        <v>quick</v>
      </c>
      <c r="R5" t="str">
        <v>random</v>
      </c>
      <c r="S5">
        <v>3000</v>
      </c>
      <c r="T5">
        <v>0.13600000000000001</v>
      </c>
    </row>
    <row r="6" spans="1:20" x14ac:dyDescent="0.2">
      <c r="A6" s="1" t="s">
        <v>6</v>
      </c>
      <c r="B6" s="1" t="s">
        <v>8</v>
      </c>
      <c r="C6" s="7">
        <v>1000</v>
      </c>
      <c r="D6" s="6">
        <v>1.9E-2</v>
      </c>
      <c r="G6" t="str">
        <v>selection</v>
      </c>
      <c r="H6" s="1" t="str">
        <v>sorted</v>
      </c>
      <c r="I6">
        <v>3000</v>
      </c>
      <c r="J6">
        <v>1.6020000000000001</v>
      </c>
      <c r="L6" t="str">
        <v>merge</v>
      </c>
      <c r="M6" t="str">
        <v>sorted</v>
      </c>
      <c r="N6">
        <v>3000</v>
      </c>
      <c r="O6">
        <v>6.3E-2</v>
      </c>
      <c r="Q6" t="str">
        <v>quick</v>
      </c>
      <c r="R6" t="str">
        <v>sorted</v>
      </c>
      <c r="S6">
        <v>3000</v>
      </c>
      <c r="T6">
        <v>3.08</v>
      </c>
    </row>
    <row r="7" spans="1:20" x14ac:dyDescent="0.2">
      <c r="A7" s="1" t="s">
        <v>7</v>
      </c>
      <c r="B7" s="1" t="s">
        <v>8</v>
      </c>
      <c r="C7" s="7">
        <v>1000</v>
      </c>
      <c r="D7" s="6">
        <v>0.32400000000000001</v>
      </c>
      <c r="G7" t="str">
        <v>selection</v>
      </c>
      <c r="H7" t="str">
        <v>reversed</v>
      </c>
      <c r="I7">
        <v>3000</v>
      </c>
      <c r="J7">
        <v>1.93</v>
      </c>
      <c r="L7" t="str">
        <v>merge</v>
      </c>
      <c r="M7" t="str">
        <v>reversed</v>
      </c>
      <c r="N7">
        <v>3000</v>
      </c>
      <c r="O7">
        <v>8.5000000000000006E-2</v>
      </c>
      <c r="Q7" t="str">
        <v>quick</v>
      </c>
      <c r="R7" t="str">
        <v>reversed</v>
      </c>
      <c r="S7">
        <v>3000</v>
      </c>
      <c r="T7">
        <v>2.1459999999999999</v>
      </c>
    </row>
    <row r="8" spans="1:20" x14ac:dyDescent="0.2">
      <c r="A8" s="1" t="s">
        <v>4</v>
      </c>
      <c r="B8" s="1" t="s">
        <v>9</v>
      </c>
      <c r="C8" s="7">
        <v>1000</v>
      </c>
      <c r="D8" s="6">
        <v>0.20899999999999999</v>
      </c>
      <c r="G8" t="str">
        <v>selection</v>
      </c>
      <c r="H8" t="str">
        <v>random</v>
      </c>
      <c r="I8">
        <v>6000</v>
      </c>
      <c r="J8">
        <v>6.4649999999999999</v>
      </c>
      <c r="L8" t="str">
        <v>merge</v>
      </c>
      <c r="M8" t="str">
        <v>random</v>
      </c>
      <c r="N8">
        <v>6000</v>
      </c>
      <c r="O8">
        <v>0.42</v>
      </c>
      <c r="Q8" t="str">
        <v>quick</v>
      </c>
      <c r="R8" t="str">
        <v>random</v>
      </c>
      <c r="S8">
        <v>6000</v>
      </c>
      <c r="T8">
        <v>0.28599999999999998</v>
      </c>
    </row>
    <row r="9" spans="1:20" x14ac:dyDescent="0.2">
      <c r="A9" s="1" t="s">
        <v>6</v>
      </c>
      <c r="B9" s="1" t="s">
        <v>9</v>
      </c>
      <c r="C9" s="7">
        <v>1000</v>
      </c>
      <c r="D9" s="6">
        <v>0.30399999999999999</v>
      </c>
      <c r="G9" t="str">
        <v>selection</v>
      </c>
      <c r="H9" t="str">
        <v>sorted</v>
      </c>
      <c r="I9">
        <v>6000</v>
      </c>
      <c r="J9">
        <v>6.2329999999999997</v>
      </c>
      <c r="L9" t="str">
        <v>merge</v>
      </c>
      <c r="M9" t="str">
        <v>sorted</v>
      </c>
      <c r="N9">
        <v>6000</v>
      </c>
      <c r="O9">
        <v>0.13200000000000001</v>
      </c>
      <c r="Q9" t="str">
        <v>quick</v>
      </c>
      <c r="R9" t="str">
        <v>sorted</v>
      </c>
      <c r="S9">
        <v>6000</v>
      </c>
      <c r="T9">
        <v>12.42</v>
      </c>
    </row>
    <row r="10" spans="1:20" x14ac:dyDescent="0.2">
      <c r="A10" s="1" t="s">
        <v>7</v>
      </c>
      <c r="B10" s="1" t="s">
        <v>9</v>
      </c>
      <c r="C10" s="7">
        <v>1000</v>
      </c>
      <c r="D10" s="6">
        <v>0.25</v>
      </c>
      <c r="G10" t="str">
        <v>selection</v>
      </c>
      <c r="H10" t="str">
        <v>reversed</v>
      </c>
      <c r="I10">
        <v>6000</v>
      </c>
      <c r="J10">
        <v>7.1660000000000004</v>
      </c>
      <c r="L10" t="str">
        <v>merge</v>
      </c>
      <c r="M10" t="str">
        <v>reversed</v>
      </c>
      <c r="N10">
        <v>6000</v>
      </c>
      <c r="O10">
        <v>0.20799999999999999</v>
      </c>
      <c r="Q10" t="str">
        <v>quick</v>
      </c>
      <c r="R10" t="str">
        <v>reversed</v>
      </c>
      <c r="S10">
        <v>6000</v>
      </c>
      <c r="T10">
        <v>9.7569999999999997</v>
      </c>
    </row>
    <row r="11" spans="1:20" x14ac:dyDescent="0.2">
      <c r="A11" s="1" t="s">
        <v>4</v>
      </c>
      <c r="B11" s="1" t="s">
        <v>5</v>
      </c>
      <c r="C11" s="7">
        <v>3000</v>
      </c>
      <c r="D11" s="6">
        <v>1.746</v>
      </c>
      <c r="G11" t="str">
        <v>selection</v>
      </c>
      <c r="H11" t="str">
        <v>random</v>
      </c>
      <c r="I11">
        <v>9000</v>
      </c>
      <c r="J11">
        <v>14.212999999999999</v>
      </c>
      <c r="L11" t="str">
        <v>merge</v>
      </c>
      <c r="M11" t="str">
        <v>random</v>
      </c>
      <c r="N11">
        <v>9000</v>
      </c>
      <c r="O11">
        <v>0.66300000000000003</v>
      </c>
      <c r="Q11" t="str">
        <v>quick</v>
      </c>
      <c r="R11" t="str">
        <v>random</v>
      </c>
      <c r="S11">
        <v>9000</v>
      </c>
      <c r="T11">
        <v>0.442</v>
      </c>
    </row>
    <row r="12" spans="1:20" x14ac:dyDescent="0.2">
      <c r="A12" s="1" t="s">
        <v>6</v>
      </c>
      <c r="B12" s="1" t="s">
        <v>5</v>
      </c>
      <c r="C12" s="7">
        <v>3000</v>
      </c>
      <c r="D12" s="6">
        <v>0.20399999999999999</v>
      </c>
      <c r="G12" t="str">
        <v>selection</v>
      </c>
      <c r="H12" t="str">
        <v>sorted</v>
      </c>
      <c r="I12">
        <v>9000</v>
      </c>
      <c r="J12">
        <v>13.872999999999999</v>
      </c>
      <c r="L12" t="str">
        <v>merge</v>
      </c>
      <c r="M12" t="str">
        <v>sorted</v>
      </c>
      <c r="N12">
        <v>9000</v>
      </c>
      <c r="O12">
        <v>0.20399999999999999</v>
      </c>
      <c r="Q12" t="str">
        <v>quick</v>
      </c>
      <c r="R12" t="str">
        <v>sorted</v>
      </c>
      <c r="S12">
        <v>9000</v>
      </c>
      <c r="T12">
        <v>28.346</v>
      </c>
    </row>
    <row r="13" spans="1:20" x14ac:dyDescent="0.2">
      <c r="A13" s="1" t="s">
        <v>7</v>
      </c>
      <c r="B13" s="1" t="s">
        <v>5</v>
      </c>
      <c r="C13" s="7">
        <v>3000</v>
      </c>
      <c r="D13" s="6">
        <v>0.13600000000000001</v>
      </c>
      <c r="G13" t="str">
        <v>selection</v>
      </c>
      <c r="H13" t="str">
        <v>reversed</v>
      </c>
      <c r="I13">
        <v>9000</v>
      </c>
      <c r="J13">
        <v>16.391999999999999</v>
      </c>
      <c r="L13" t="str">
        <v>merge</v>
      </c>
      <c r="M13" t="str">
        <v>reversed</v>
      </c>
      <c r="N13">
        <v>9000</v>
      </c>
      <c r="O13">
        <v>0.27300000000000002</v>
      </c>
      <c r="Q13" t="str">
        <v>quick</v>
      </c>
      <c r="R13" t="str">
        <v>reversed</v>
      </c>
      <c r="S13">
        <v>9000</v>
      </c>
      <c r="T13">
        <v>19.196000000000002</v>
      </c>
    </row>
    <row r="14" spans="1:20" x14ac:dyDescent="0.2">
      <c r="A14" s="1" t="s">
        <v>4</v>
      </c>
      <c r="B14" s="1" t="s">
        <v>8</v>
      </c>
      <c r="C14" s="7">
        <v>3000</v>
      </c>
      <c r="D14" s="6">
        <v>1.6020000000000001</v>
      </c>
      <c r="G14" t="str">
        <v>selection</v>
      </c>
      <c r="H14" t="str">
        <v>random</v>
      </c>
      <c r="I14">
        <v>12000</v>
      </c>
      <c r="J14">
        <v>24.963999999999999</v>
      </c>
      <c r="L14" t="str">
        <v>merge</v>
      </c>
      <c r="M14" t="str">
        <v>random</v>
      </c>
      <c r="N14">
        <v>12000</v>
      </c>
      <c r="O14">
        <v>0.91</v>
      </c>
      <c r="Q14" t="str">
        <v>quick</v>
      </c>
      <c r="R14" t="str">
        <v>random</v>
      </c>
      <c r="S14">
        <v>12000</v>
      </c>
      <c r="T14">
        <v>0.61299999999999999</v>
      </c>
    </row>
    <row r="15" spans="1:20" x14ac:dyDescent="0.2">
      <c r="A15" s="1" t="s">
        <v>6</v>
      </c>
      <c r="B15" s="1" t="s">
        <v>8</v>
      </c>
      <c r="C15" s="7">
        <v>3000</v>
      </c>
      <c r="D15" s="6">
        <v>6.3E-2</v>
      </c>
      <c r="G15" t="str">
        <v>selection</v>
      </c>
      <c r="H15" t="str">
        <v>sorted</v>
      </c>
      <c r="I15">
        <v>12000</v>
      </c>
      <c r="J15">
        <v>25.422000000000001</v>
      </c>
      <c r="L15" t="str">
        <v>merge</v>
      </c>
      <c r="M15" t="str">
        <v>sorted</v>
      </c>
      <c r="N15">
        <v>12000</v>
      </c>
      <c r="O15">
        <v>0.28699999999999998</v>
      </c>
      <c r="Q15" t="str">
        <v>quick</v>
      </c>
      <c r="R15" t="str">
        <v>sorted</v>
      </c>
      <c r="S15">
        <v>12000</v>
      </c>
      <c r="T15">
        <v>49.204000000000001</v>
      </c>
    </row>
    <row r="16" spans="1:20" x14ac:dyDescent="0.2">
      <c r="A16" s="1" t="s">
        <v>7</v>
      </c>
      <c r="B16" s="1" t="s">
        <v>8</v>
      </c>
      <c r="C16" s="7">
        <v>3000</v>
      </c>
      <c r="D16" s="6">
        <v>3.08</v>
      </c>
      <c r="G16" t="str">
        <v>selection</v>
      </c>
      <c r="H16" t="str">
        <v>reversed</v>
      </c>
      <c r="I16">
        <v>12000</v>
      </c>
      <c r="J16">
        <v>28.623000000000001</v>
      </c>
      <c r="L16" t="str">
        <v>merge</v>
      </c>
      <c r="M16" t="str">
        <v>reversed</v>
      </c>
      <c r="N16">
        <v>12000</v>
      </c>
      <c r="O16">
        <v>0.377</v>
      </c>
      <c r="Q16" t="str">
        <v>quick</v>
      </c>
      <c r="R16" t="str">
        <v>reversed</v>
      </c>
      <c r="S16">
        <v>12000</v>
      </c>
      <c r="T16">
        <v>33.984999999999999</v>
      </c>
    </row>
    <row r="17" spans="1:20" x14ac:dyDescent="0.2">
      <c r="A17" s="1" t="s">
        <v>4</v>
      </c>
      <c r="B17" s="1" t="s">
        <v>9</v>
      </c>
      <c r="C17" s="7">
        <v>3000</v>
      </c>
      <c r="D17" s="6">
        <v>1.93</v>
      </c>
      <c r="G17" t="str">
        <v>selection</v>
      </c>
      <c r="H17" t="str">
        <v>random</v>
      </c>
      <c r="I17">
        <v>15000</v>
      </c>
      <c r="J17">
        <v>40.375999999999998</v>
      </c>
      <c r="L17" t="str">
        <v>merge</v>
      </c>
      <c r="M17" t="str">
        <v>random</v>
      </c>
      <c r="N17">
        <v>15000</v>
      </c>
      <c r="O17">
        <v>1.155</v>
      </c>
      <c r="Q17" t="str">
        <v>quick</v>
      </c>
      <c r="R17" t="str">
        <v>random</v>
      </c>
      <c r="S17">
        <v>15000</v>
      </c>
      <c r="T17">
        <v>0.76700000000000002</v>
      </c>
    </row>
    <row r="18" spans="1:20" x14ac:dyDescent="0.2">
      <c r="A18" s="1" t="s">
        <v>6</v>
      </c>
      <c r="B18" s="1" t="s">
        <v>9</v>
      </c>
      <c r="C18" s="7">
        <v>3000</v>
      </c>
      <c r="D18" s="6">
        <v>8.5000000000000006E-2</v>
      </c>
      <c r="G18" t="str">
        <v>selection</v>
      </c>
      <c r="H18" t="str">
        <v>sorted</v>
      </c>
      <c r="I18">
        <v>15000</v>
      </c>
      <c r="J18">
        <v>38.646000000000001</v>
      </c>
      <c r="L18" t="str">
        <v>merge</v>
      </c>
      <c r="M18" t="str">
        <v>sorted</v>
      </c>
      <c r="N18">
        <v>15000</v>
      </c>
      <c r="O18">
        <v>0.40100000000000002</v>
      </c>
      <c r="Q18" t="str">
        <v>quick</v>
      </c>
      <c r="R18" t="str">
        <v>sorted</v>
      </c>
      <c r="S18">
        <v>15000</v>
      </c>
      <c r="T18">
        <v>77.176000000000002</v>
      </c>
    </row>
    <row r="19" spans="1:20" x14ac:dyDescent="0.2">
      <c r="A19" s="1" t="s">
        <v>7</v>
      </c>
      <c r="B19" s="1" t="s">
        <v>9</v>
      </c>
      <c r="C19" s="7">
        <v>3000</v>
      </c>
      <c r="D19" s="6">
        <v>2.1459999999999999</v>
      </c>
      <c r="G19" t="str">
        <v>selection</v>
      </c>
      <c r="H19" t="str">
        <v>reversed</v>
      </c>
      <c r="I19">
        <v>15000</v>
      </c>
      <c r="J19">
        <v>44.734000000000002</v>
      </c>
      <c r="L19" t="str">
        <v>merge</v>
      </c>
      <c r="M19" t="str">
        <v>reversed</v>
      </c>
      <c r="N19">
        <v>15000</v>
      </c>
      <c r="O19">
        <v>0.47599999999999998</v>
      </c>
      <c r="Q19" t="str">
        <v>quick</v>
      </c>
      <c r="R19" t="str">
        <v>reversed</v>
      </c>
      <c r="S19">
        <v>15000</v>
      </c>
      <c r="T19">
        <v>52.768999999999998</v>
      </c>
    </row>
    <row r="20" spans="1:20" x14ac:dyDescent="0.2">
      <c r="A20" s="1" t="s">
        <v>4</v>
      </c>
      <c r="B20" s="1" t="s">
        <v>5</v>
      </c>
      <c r="C20" s="7">
        <v>6000</v>
      </c>
      <c r="D20" s="6">
        <v>6.4649999999999999</v>
      </c>
    </row>
    <row r="21" spans="1:20" x14ac:dyDescent="0.2">
      <c r="A21" s="1" t="s">
        <v>6</v>
      </c>
      <c r="B21" s="1" t="s">
        <v>5</v>
      </c>
      <c r="C21" s="7">
        <v>6000</v>
      </c>
      <c r="D21" s="6">
        <v>0.42</v>
      </c>
      <c r="G21" s="3" t="s">
        <v>0</v>
      </c>
      <c r="H21" s="4" t="s">
        <v>1</v>
      </c>
      <c r="I21" s="4" t="s">
        <v>2</v>
      </c>
      <c r="J21" s="5" t="s">
        <v>3</v>
      </c>
      <c r="L21" s="3" t="s">
        <v>0</v>
      </c>
      <c r="M21" s="4" t="s">
        <v>1</v>
      </c>
      <c r="N21" s="4" t="s">
        <v>2</v>
      </c>
      <c r="O21" s="5" t="s">
        <v>3</v>
      </c>
      <c r="Q21" s="8" t="s">
        <v>0</v>
      </c>
      <c r="R21" s="9" t="s">
        <v>1</v>
      </c>
      <c r="S21" s="9" t="s">
        <v>2</v>
      </c>
      <c r="T21" s="10" t="s">
        <v>3</v>
      </c>
    </row>
    <row r="22" spans="1:20" x14ac:dyDescent="0.2">
      <c r="A22" s="1" t="s">
        <v>7</v>
      </c>
      <c r="B22" s="1" t="s">
        <v>5</v>
      </c>
      <c r="C22" s="7">
        <v>6000</v>
      </c>
      <c r="D22" s="6">
        <v>0.28599999999999998</v>
      </c>
      <c r="G22" t="str" cm="1">
        <f t="array" ref="G22:J27">_xlfn._xlws.FILTER(_xlfn.ANCHORARRAY(G2), H2:H19="random")</f>
        <v>selection</v>
      </c>
      <c r="H22" t="str">
        <v>random</v>
      </c>
      <c r="I22">
        <v>1000</v>
      </c>
      <c r="J22">
        <v>1.3620000000000001</v>
      </c>
      <c r="L22" t="str" cm="1">
        <f t="array" ref="L22:O27">_xlfn._xlws.FILTER(_xlfn.ANCHORARRAY(L2), M2:M19="random")</f>
        <v>merge</v>
      </c>
      <c r="M22" t="str">
        <v>random</v>
      </c>
      <c r="N22">
        <v>1000</v>
      </c>
      <c r="O22">
        <v>0.32900000000000001</v>
      </c>
      <c r="Q22" t="str" cm="1">
        <f t="array" ref="Q22:T27">_xlfn._xlws.FILTER(_xlfn.ANCHORARRAY(Q2),R2:R19="random")</f>
        <v>quick</v>
      </c>
      <c r="R22" t="str">
        <v>random</v>
      </c>
      <c r="S22">
        <v>1000</v>
      </c>
      <c r="T22">
        <v>0.27200000000000002</v>
      </c>
    </row>
    <row r="23" spans="1:20" x14ac:dyDescent="0.2">
      <c r="A23" s="1" t="s">
        <v>4</v>
      </c>
      <c r="B23" s="1" t="s">
        <v>8</v>
      </c>
      <c r="C23" s="7">
        <v>6000</v>
      </c>
      <c r="D23" s="6">
        <v>6.2329999999999997</v>
      </c>
      <c r="G23" t="str">
        <v>selection</v>
      </c>
      <c r="H23" t="str">
        <v>random</v>
      </c>
      <c r="I23">
        <v>3000</v>
      </c>
      <c r="J23">
        <v>1.746</v>
      </c>
      <c r="L23" t="str">
        <v>merge</v>
      </c>
      <c r="M23" t="str">
        <v>random</v>
      </c>
      <c r="N23">
        <v>3000</v>
      </c>
      <c r="O23">
        <v>0.20399999999999999</v>
      </c>
      <c r="Q23" t="str">
        <v>quick</v>
      </c>
      <c r="R23" t="str">
        <v>random</v>
      </c>
      <c r="S23">
        <v>3000</v>
      </c>
      <c r="T23">
        <v>0.13600000000000001</v>
      </c>
    </row>
    <row r="24" spans="1:20" x14ac:dyDescent="0.2">
      <c r="A24" s="1" t="s">
        <v>6</v>
      </c>
      <c r="B24" s="1" t="s">
        <v>8</v>
      </c>
      <c r="C24" s="7">
        <v>6000</v>
      </c>
      <c r="D24" s="6">
        <v>0.13200000000000001</v>
      </c>
      <c r="G24" t="str">
        <v>selection</v>
      </c>
      <c r="H24" t="str">
        <v>random</v>
      </c>
      <c r="I24">
        <v>6000</v>
      </c>
      <c r="J24">
        <v>6.4649999999999999</v>
      </c>
      <c r="L24" t="str">
        <v>merge</v>
      </c>
      <c r="M24" t="str">
        <v>random</v>
      </c>
      <c r="N24">
        <v>6000</v>
      </c>
      <c r="O24">
        <v>0.42</v>
      </c>
      <c r="Q24" t="str">
        <v>quick</v>
      </c>
      <c r="R24" t="str">
        <v>random</v>
      </c>
      <c r="S24">
        <v>6000</v>
      </c>
      <c r="T24">
        <v>0.28599999999999998</v>
      </c>
    </row>
    <row r="25" spans="1:20" x14ac:dyDescent="0.2">
      <c r="A25" s="1" t="s">
        <v>7</v>
      </c>
      <c r="B25" s="1" t="s">
        <v>8</v>
      </c>
      <c r="C25" s="7">
        <v>6000</v>
      </c>
      <c r="D25" s="6">
        <v>12.42</v>
      </c>
      <c r="G25" t="str">
        <v>selection</v>
      </c>
      <c r="H25" t="str">
        <v>random</v>
      </c>
      <c r="I25">
        <v>9000</v>
      </c>
      <c r="J25">
        <v>14.212999999999999</v>
      </c>
      <c r="L25" t="str">
        <v>merge</v>
      </c>
      <c r="M25" t="str">
        <v>random</v>
      </c>
      <c r="N25">
        <v>9000</v>
      </c>
      <c r="O25">
        <v>0.66300000000000003</v>
      </c>
      <c r="Q25" t="str">
        <v>quick</v>
      </c>
      <c r="R25" t="str">
        <v>random</v>
      </c>
      <c r="S25">
        <v>9000</v>
      </c>
      <c r="T25">
        <v>0.442</v>
      </c>
    </row>
    <row r="26" spans="1:20" x14ac:dyDescent="0.2">
      <c r="A26" s="1" t="s">
        <v>4</v>
      </c>
      <c r="B26" s="1" t="s">
        <v>9</v>
      </c>
      <c r="C26" s="7">
        <v>6000</v>
      </c>
      <c r="D26" s="6">
        <v>7.1660000000000004</v>
      </c>
      <c r="G26" t="str">
        <v>selection</v>
      </c>
      <c r="H26" t="str">
        <v>random</v>
      </c>
      <c r="I26">
        <v>12000</v>
      </c>
      <c r="J26">
        <v>24.963999999999999</v>
      </c>
      <c r="L26" t="str">
        <v>merge</v>
      </c>
      <c r="M26" t="str">
        <v>random</v>
      </c>
      <c r="N26">
        <v>12000</v>
      </c>
      <c r="O26">
        <v>0.91</v>
      </c>
      <c r="Q26" t="str">
        <v>quick</v>
      </c>
      <c r="R26" t="str">
        <v>random</v>
      </c>
      <c r="S26">
        <v>12000</v>
      </c>
      <c r="T26">
        <v>0.61299999999999999</v>
      </c>
    </row>
    <row r="27" spans="1:20" x14ac:dyDescent="0.2">
      <c r="A27" s="1" t="s">
        <v>6</v>
      </c>
      <c r="B27" s="1" t="s">
        <v>9</v>
      </c>
      <c r="C27" s="7">
        <v>6000</v>
      </c>
      <c r="D27" s="6">
        <v>0.20799999999999999</v>
      </c>
      <c r="G27" t="str">
        <v>selection</v>
      </c>
      <c r="H27" t="str">
        <v>random</v>
      </c>
      <c r="I27">
        <v>15000</v>
      </c>
      <c r="J27">
        <v>40.375999999999998</v>
      </c>
      <c r="L27" t="str">
        <v>merge</v>
      </c>
      <c r="M27" t="str">
        <v>random</v>
      </c>
      <c r="N27">
        <v>15000</v>
      </c>
      <c r="O27">
        <v>1.155</v>
      </c>
      <c r="Q27" t="str">
        <v>quick</v>
      </c>
      <c r="R27" t="str">
        <v>random</v>
      </c>
      <c r="S27">
        <v>15000</v>
      </c>
      <c r="T27">
        <v>0.76700000000000002</v>
      </c>
    </row>
    <row r="28" spans="1:20" x14ac:dyDescent="0.2">
      <c r="A28" s="1" t="s">
        <v>7</v>
      </c>
      <c r="B28" s="1" t="s">
        <v>9</v>
      </c>
      <c r="C28" s="7">
        <v>6000</v>
      </c>
      <c r="D28" s="6">
        <v>9.7569999999999997</v>
      </c>
    </row>
    <row r="29" spans="1:20" x14ac:dyDescent="0.2">
      <c r="A29" s="1" t="s">
        <v>4</v>
      </c>
      <c r="B29" s="1" t="s">
        <v>5</v>
      </c>
      <c r="C29" s="7">
        <v>9000</v>
      </c>
      <c r="D29" s="6">
        <v>14.212999999999999</v>
      </c>
      <c r="G29" s="3" t="s">
        <v>0</v>
      </c>
      <c r="H29" s="4" t="s">
        <v>1</v>
      </c>
      <c r="I29" s="4" t="s">
        <v>2</v>
      </c>
      <c r="J29" s="5" t="s">
        <v>3</v>
      </c>
      <c r="L29" s="3" t="s">
        <v>0</v>
      </c>
      <c r="M29" s="4" t="s">
        <v>1</v>
      </c>
      <c r="N29" s="4" t="s">
        <v>2</v>
      </c>
      <c r="O29" s="5" t="s">
        <v>3</v>
      </c>
      <c r="Q29" s="8" t="s">
        <v>0</v>
      </c>
      <c r="R29" s="9" t="s">
        <v>1</v>
      </c>
      <c r="S29" s="9" t="s">
        <v>2</v>
      </c>
      <c r="T29" s="10" t="s">
        <v>3</v>
      </c>
    </row>
    <row r="30" spans="1:20" x14ac:dyDescent="0.2">
      <c r="A30" s="1" t="s">
        <v>6</v>
      </c>
      <c r="B30" s="1" t="s">
        <v>5</v>
      </c>
      <c r="C30" s="7">
        <v>9000</v>
      </c>
      <c r="D30" s="6">
        <v>0.66300000000000003</v>
      </c>
      <c r="G30" t="str" cm="1">
        <f t="array" ref="G30:J35">_xlfn._xlws.FILTER(_xlfn.ANCHORARRAY(G2), H2:H19="sorted")</f>
        <v>selection</v>
      </c>
      <c r="H30" t="str">
        <v>sorted</v>
      </c>
      <c r="I30">
        <v>1000</v>
      </c>
      <c r="J30">
        <v>0.188</v>
      </c>
      <c r="L30" t="str" cm="1">
        <f t="array" ref="L30:O35">_xlfn._xlws.FILTER(_xlfn.ANCHORARRAY(L2), M2:M19="sorted")</f>
        <v>merge</v>
      </c>
      <c r="M30" t="str">
        <v>sorted</v>
      </c>
      <c r="N30">
        <v>1000</v>
      </c>
      <c r="O30">
        <v>1.9E-2</v>
      </c>
      <c r="Q30" t="str" cm="1">
        <f t="array" ref="Q30:T35">_xlfn._xlws.FILTER(_xlfn.ANCHORARRAY(Q2),R2:R19="sorted")</f>
        <v>quick</v>
      </c>
      <c r="R30" t="str">
        <v>sorted</v>
      </c>
      <c r="S30">
        <v>1000</v>
      </c>
      <c r="T30">
        <v>0.32400000000000001</v>
      </c>
    </row>
    <row r="31" spans="1:20" x14ac:dyDescent="0.2">
      <c r="A31" s="1" t="s">
        <v>7</v>
      </c>
      <c r="B31" s="1" t="s">
        <v>5</v>
      </c>
      <c r="C31" s="7">
        <v>9000</v>
      </c>
      <c r="D31" s="6">
        <v>0.442</v>
      </c>
      <c r="G31" t="str">
        <v>selection</v>
      </c>
      <c r="H31" t="str">
        <v>sorted</v>
      </c>
      <c r="I31">
        <v>3000</v>
      </c>
      <c r="J31">
        <v>1.6020000000000001</v>
      </c>
      <c r="L31" t="str">
        <v>merge</v>
      </c>
      <c r="M31" t="str">
        <v>sorted</v>
      </c>
      <c r="N31">
        <v>3000</v>
      </c>
      <c r="O31">
        <v>6.3E-2</v>
      </c>
      <c r="Q31" t="str">
        <v>quick</v>
      </c>
      <c r="R31" t="str">
        <v>sorted</v>
      </c>
      <c r="S31">
        <v>3000</v>
      </c>
      <c r="T31">
        <v>3.08</v>
      </c>
    </row>
    <row r="32" spans="1:20" x14ac:dyDescent="0.2">
      <c r="A32" s="1" t="s">
        <v>4</v>
      </c>
      <c r="B32" s="1" t="s">
        <v>8</v>
      </c>
      <c r="C32" s="7">
        <v>9000</v>
      </c>
      <c r="D32" s="6">
        <v>13.872999999999999</v>
      </c>
      <c r="G32" t="str">
        <v>selection</v>
      </c>
      <c r="H32" t="str">
        <v>sorted</v>
      </c>
      <c r="I32">
        <v>6000</v>
      </c>
      <c r="J32">
        <v>6.2329999999999997</v>
      </c>
      <c r="L32" t="str">
        <v>merge</v>
      </c>
      <c r="M32" t="str">
        <v>sorted</v>
      </c>
      <c r="N32">
        <v>6000</v>
      </c>
      <c r="O32">
        <v>0.13200000000000001</v>
      </c>
      <c r="Q32" t="str">
        <v>quick</v>
      </c>
      <c r="R32" t="str">
        <v>sorted</v>
      </c>
      <c r="S32">
        <v>6000</v>
      </c>
      <c r="T32">
        <v>12.42</v>
      </c>
    </row>
    <row r="33" spans="1:20" x14ac:dyDescent="0.2">
      <c r="A33" s="1" t="s">
        <v>6</v>
      </c>
      <c r="B33" s="1" t="s">
        <v>8</v>
      </c>
      <c r="C33" s="7">
        <v>9000</v>
      </c>
      <c r="D33" s="6">
        <v>0.20399999999999999</v>
      </c>
      <c r="G33" t="str">
        <v>selection</v>
      </c>
      <c r="H33" t="str">
        <v>sorted</v>
      </c>
      <c r="I33">
        <v>9000</v>
      </c>
      <c r="J33">
        <v>13.872999999999999</v>
      </c>
      <c r="L33" t="str">
        <v>merge</v>
      </c>
      <c r="M33" t="str">
        <v>sorted</v>
      </c>
      <c r="N33">
        <v>9000</v>
      </c>
      <c r="O33">
        <v>0.20399999999999999</v>
      </c>
      <c r="Q33" t="str">
        <v>quick</v>
      </c>
      <c r="R33" t="str">
        <v>sorted</v>
      </c>
      <c r="S33">
        <v>9000</v>
      </c>
      <c r="T33">
        <v>28.346</v>
      </c>
    </row>
    <row r="34" spans="1:20" x14ac:dyDescent="0.2">
      <c r="A34" s="1" t="s">
        <v>7</v>
      </c>
      <c r="B34" s="1" t="s">
        <v>8</v>
      </c>
      <c r="C34" s="7">
        <v>9000</v>
      </c>
      <c r="D34" s="6">
        <v>28.346</v>
      </c>
      <c r="G34" t="str">
        <v>selection</v>
      </c>
      <c r="H34" t="str">
        <v>sorted</v>
      </c>
      <c r="I34">
        <v>12000</v>
      </c>
      <c r="J34">
        <v>25.422000000000001</v>
      </c>
      <c r="L34" t="str">
        <v>merge</v>
      </c>
      <c r="M34" t="str">
        <v>sorted</v>
      </c>
      <c r="N34">
        <v>12000</v>
      </c>
      <c r="O34">
        <v>0.28699999999999998</v>
      </c>
      <c r="Q34" t="str">
        <v>quick</v>
      </c>
      <c r="R34" t="str">
        <v>sorted</v>
      </c>
      <c r="S34">
        <v>12000</v>
      </c>
      <c r="T34">
        <v>49.204000000000001</v>
      </c>
    </row>
    <row r="35" spans="1:20" x14ac:dyDescent="0.2">
      <c r="A35" s="1" t="s">
        <v>4</v>
      </c>
      <c r="B35" s="1" t="s">
        <v>9</v>
      </c>
      <c r="C35" s="7">
        <v>9000</v>
      </c>
      <c r="D35" s="6">
        <v>16.391999999999999</v>
      </c>
      <c r="G35" t="str">
        <v>selection</v>
      </c>
      <c r="H35" t="str">
        <v>sorted</v>
      </c>
      <c r="I35">
        <v>15000</v>
      </c>
      <c r="J35">
        <v>38.646000000000001</v>
      </c>
      <c r="L35" t="str">
        <v>merge</v>
      </c>
      <c r="M35" t="str">
        <v>sorted</v>
      </c>
      <c r="N35">
        <v>15000</v>
      </c>
      <c r="O35">
        <v>0.40100000000000002</v>
      </c>
      <c r="Q35" t="str">
        <v>quick</v>
      </c>
      <c r="R35" t="str">
        <v>sorted</v>
      </c>
      <c r="S35">
        <v>15000</v>
      </c>
      <c r="T35">
        <v>77.176000000000002</v>
      </c>
    </row>
    <row r="36" spans="1:20" x14ac:dyDescent="0.2">
      <c r="A36" s="1" t="s">
        <v>6</v>
      </c>
      <c r="B36" s="1" t="s">
        <v>9</v>
      </c>
      <c r="C36" s="7">
        <v>9000</v>
      </c>
      <c r="D36" s="6">
        <v>0.27300000000000002</v>
      </c>
    </row>
    <row r="37" spans="1:20" x14ac:dyDescent="0.2">
      <c r="A37" s="1" t="s">
        <v>7</v>
      </c>
      <c r="B37" s="1" t="s">
        <v>9</v>
      </c>
      <c r="C37" s="7">
        <v>9000</v>
      </c>
      <c r="D37" s="6">
        <v>19.196000000000002</v>
      </c>
      <c r="G37" s="3" t="s">
        <v>0</v>
      </c>
      <c r="H37" s="4" t="s">
        <v>1</v>
      </c>
      <c r="I37" s="4" t="s">
        <v>2</v>
      </c>
      <c r="J37" s="5" t="s">
        <v>3</v>
      </c>
      <c r="L37" s="3" t="s">
        <v>0</v>
      </c>
      <c r="M37" s="4" t="s">
        <v>1</v>
      </c>
      <c r="N37" s="4" t="s">
        <v>2</v>
      </c>
      <c r="O37" s="5" t="s">
        <v>3</v>
      </c>
      <c r="Q37" s="8" t="s">
        <v>0</v>
      </c>
      <c r="R37" s="9" t="s">
        <v>1</v>
      </c>
      <c r="S37" s="9" t="s">
        <v>2</v>
      </c>
      <c r="T37" s="10" t="s">
        <v>3</v>
      </c>
    </row>
    <row r="38" spans="1:20" x14ac:dyDescent="0.2">
      <c r="A38" s="1" t="s">
        <v>4</v>
      </c>
      <c r="B38" s="1" t="s">
        <v>5</v>
      </c>
      <c r="C38" s="7">
        <v>12000</v>
      </c>
      <c r="D38" s="6">
        <v>24.963999999999999</v>
      </c>
      <c r="G38" t="str" cm="1">
        <f t="array" ref="G38:J43">_xlfn._xlws.FILTER(_xlfn.ANCHORARRAY(G2), H2:H19="reversed")</f>
        <v>selection</v>
      </c>
      <c r="H38" t="str">
        <v>reversed</v>
      </c>
      <c r="I38">
        <v>1000</v>
      </c>
      <c r="J38">
        <v>0.20899999999999999</v>
      </c>
      <c r="L38" t="str" cm="1">
        <f t="array" ref="L38:O43">_xlfn._xlws.FILTER(_xlfn.ANCHORARRAY(L2), M2:M19="reversed")</f>
        <v>merge</v>
      </c>
      <c r="M38" t="str">
        <v>reversed</v>
      </c>
      <c r="N38">
        <v>1000</v>
      </c>
      <c r="O38">
        <v>0.30399999999999999</v>
      </c>
      <c r="Q38" t="str" cm="1">
        <f t="array" ref="Q38:T43">_xlfn._xlws.FILTER(_xlfn.ANCHORARRAY(Q2),R2:R19="reversed")</f>
        <v>quick</v>
      </c>
      <c r="R38" t="str">
        <v>reversed</v>
      </c>
      <c r="S38">
        <v>1000</v>
      </c>
      <c r="T38">
        <v>0.25</v>
      </c>
    </row>
    <row r="39" spans="1:20" x14ac:dyDescent="0.2">
      <c r="A39" s="1" t="s">
        <v>6</v>
      </c>
      <c r="B39" s="1" t="s">
        <v>5</v>
      </c>
      <c r="C39" s="7">
        <v>12000</v>
      </c>
      <c r="D39" s="6">
        <v>0.91</v>
      </c>
      <c r="G39" t="str">
        <v>selection</v>
      </c>
      <c r="H39" t="str">
        <v>reversed</v>
      </c>
      <c r="I39">
        <v>3000</v>
      </c>
      <c r="J39">
        <v>1.93</v>
      </c>
      <c r="L39" t="str">
        <v>merge</v>
      </c>
      <c r="M39" t="str">
        <v>reversed</v>
      </c>
      <c r="N39">
        <v>3000</v>
      </c>
      <c r="O39">
        <v>8.5000000000000006E-2</v>
      </c>
      <c r="Q39" t="str">
        <v>quick</v>
      </c>
      <c r="R39" t="str">
        <v>reversed</v>
      </c>
      <c r="S39">
        <v>3000</v>
      </c>
      <c r="T39">
        <v>2.1459999999999999</v>
      </c>
    </row>
    <row r="40" spans="1:20" x14ac:dyDescent="0.2">
      <c r="A40" s="1" t="s">
        <v>7</v>
      </c>
      <c r="B40" s="1" t="s">
        <v>5</v>
      </c>
      <c r="C40" s="7">
        <v>12000</v>
      </c>
      <c r="D40" s="6">
        <v>0.61299999999999999</v>
      </c>
      <c r="G40" t="str">
        <v>selection</v>
      </c>
      <c r="H40" t="str">
        <v>reversed</v>
      </c>
      <c r="I40">
        <v>6000</v>
      </c>
      <c r="J40">
        <v>7.1660000000000004</v>
      </c>
      <c r="L40" t="str">
        <v>merge</v>
      </c>
      <c r="M40" t="str">
        <v>reversed</v>
      </c>
      <c r="N40">
        <v>6000</v>
      </c>
      <c r="O40">
        <v>0.20799999999999999</v>
      </c>
      <c r="Q40" t="str">
        <v>quick</v>
      </c>
      <c r="R40" t="str">
        <v>reversed</v>
      </c>
      <c r="S40">
        <v>6000</v>
      </c>
      <c r="T40">
        <v>9.7569999999999997</v>
      </c>
    </row>
    <row r="41" spans="1:20" x14ac:dyDescent="0.2">
      <c r="A41" s="1" t="s">
        <v>4</v>
      </c>
      <c r="B41" s="1" t="s">
        <v>8</v>
      </c>
      <c r="C41" s="7">
        <v>12000</v>
      </c>
      <c r="D41" s="6">
        <v>25.422000000000001</v>
      </c>
      <c r="G41" t="str">
        <v>selection</v>
      </c>
      <c r="H41" t="str">
        <v>reversed</v>
      </c>
      <c r="I41">
        <v>9000</v>
      </c>
      <c r="J41">
        <v>16.391999999999999</v>
      </c>
      <c r="L41" t="str">
        <v>merge</v>
      </c>
      <c r="M41" t="str">
        <v>reversed</v>
      </c>
      <c r="N41">
        <v>9000</v>
      </c>
      <c r="O41">
        <v>0.27300000000000002</v>
      </c>
      <c r="Q41" t="str">
        <v>quick</v>
      </c>
      <c r="R41" t="str">
        <v>reversed</v>
      </c>
      <c r="S41">
        <v>9000</v>
      </c>
      <c r="T41">
        <v>19.196000000000002</v>
      </c>
    </row>
    <row r="42" spans="1:20" x14ac:dyDescent="0.2">
      <c r="A42" s="1" t="s">
        <v>6</v>
      </c>
      <c r="B42" s="1" t="s">
        <v>8</v>
      </c>
      <c r="C42" s="7">
        <v>12000</v>
      </c>
      <c r="D42" s="6">
        <v>0.28699999999999998</v>
      </c>
      <c r="G42" t="str">
        <v>selection</v>
      </c>
      <c r="H42" t="str">
        <v>reversed</v>
      </c>
      <c r="I42">
        <v>12000</v>
      </c>
      <c r="J42">
        <v>28.623000000000001</v>
      </c>
      <c r="L42" t="str">
        <v>merge</v>
      </c>
      <c r="M42" t="str">
        <v>reversed</v>
      </c>
      <c r="N42">
        <v>12000</v>
      </c>
      <c r="O42">
        <v>0.377</v>
      </c>
      <c r="Q42" t="str">
        <v>quick</v>
      </c>
      <c r="R42" t="str">
        <v>reversed</v>
      </c>
      <c r="S42">
        <v>12000</v>
      </c>
      <c r="T42">
        <v>33.984999999999999</v>
      </c>
    </row>
    <row r="43" spans="1:20" x14ac:dyDescent="0.2">
      <c r="A43" s="1" t="s">
        <v>7</v>
      </c>
      <c r="B43" s="1" t="s">
        <v>8</v>
      </c>
      <c r="C43" s="7">
        <v>12000</v>
      </c>
      <c r="D43" s="6">
        <v>49.204000000000001</v>
      </c>
      <c r="G43" t="str">
        <v>selection</v>
      </c>
      <c r="H43" t="str">
        <v>reversed</v>
      </c>
      <c r="I43">
        <v>15000</v>
      </c>
      <c r="J43">
        <v>44.734000000000002</v>
      </c>
      <c r="L43" t="str">
        <v>merge</v>
      </c>
      <c r="M43" t="str">
        <v>reversed</v>
      </c>
      <c r="N43">
        <v>15000</v>
      </c>
      <c r="O43">
        <v>0.47599999999999998</v>
      </c>
      <c r="Q43" t="str">
        <v>quick</v>
      </c>
      <c r="R43" t="str">
        <v>reversed</v>
      </c>
      <c r="S43">
        <v>15000</v>
      </c>
      <c r="T43">
        <v>52.768999999999998</v>
      </c>
    </row>
    <row r="44" spans="1:20" x14ac:dyDescent="0.2">
      <c r="A44" s="1" t="s">
        <v>4</v>
      </c>
      <c r="B44" s="1" t="s">
        <v>9</v>
      </c>
      <c r="C44" s="7">
        <v>12000</v>
      </c>
      <c r="D44" s="6">
        <v>28.623000000000001</v>
      </c>
    </row>
    <row r="45" spans="1:20" x14ac:dyDescent="0.2">
      <c r="A45" s="1" t="s">
        <v>6</v>
      </c>
      <c r="B45" s="1" t="s">
        <v>9</v>
      </c>
      <c r="C45" s="7">
        <v>12000</v>
      </c>
      <c r="D45" s="6">
        <v>0.377</v>
      </c>
    </row>
    <row r="46" spans="1:20" x14ac:dyDescent="0.2">
      <c r="A46" s="1" t="s">
        <v>7</v>
      </c>
      <c r="B46" s="1" t="s">
        <v>9</v>
      </c>
      <c r="C46" s="7">
        <v>12000</v>
      </c>
      <c r="D46" s="6">
        <v>33.984999999999999</v>
      </c>
    </row>
    <row r="47" spans="1:20" x14ac:dyDescent="0.2">
      <c r="A47" s="1" t="s">
        <v>4</v>
      </c>
      <c r="B47" s="1" t="s">
        <v>5</v>
      </c>
      <c r="C47" s="7">
        <v>15000</v>
      </c>
      <c r="D47" s="6">
        <v>40.375999999999998</v>
      </c>
    </row>
    <row r="48" spans="1:20" x14ac:dyDescent="0.2">
      <c r="A48" s="1" t="s">
        <v>6</v>
      </c>
      <c r="B48" s="1" t="s">
        <v>5</v>
      </c>
      <c r="C48" s="7">
        <v>15000</v>
      </c>
      <c r="D48" s="6">
        <v>1.155</v>
      </c>
    </row>
    <row r="49" spans="1:4" x14ac:dyDescent="0.2">
      <c r="A49" s="1" t="s">
        <v>7</v>
      </c>
      <c r="B49" s="1" t="s">
        <v>5</v>
      </c>
      <c r="C49" s="7">
        <v>15000</v>
      </c>
      <c r="D49" s="6">
        <v>0.76700000000000002</v>
      </c>
    </row>
    <row r="50" spans="1:4" x14ac:dyDescent="0.2">
      <c r="A50" s="1" t="s">
        <v>4</v>
      </c>
      <c r="B50" s="1" t="s">
        <v>8</v>
      </c>
      <c r="C50" s="7">
        <v>15000</v>
      </c>
      <c r="D50" s="6">
        <v>38.646000000000001</v>
      </c>
    </row>
    <row r="51" spans="1:4" x14ac:dyDescent="0.2">
      <c r="A51" s="1" t="s">
        <v>6</v>
      </c>
      <c r="B51" s="1" t="s">
        <v>8</v>
      </c>
      <c r="C51" s="7">
        <v>15000</v>
      </c>
      <c r="D51" s="6">
        <v>0.40100000000000002</v>
      </c>
    </row>
    <row r="52" spans="1:4" x14ac:dyDescent="0.2">
      <c r="A52" s="1" t="s">
        <v>7</v>
      </c>
      <c r="B52" s="1" t="s">
        <v>8</v>
      </c>
      <c r="C52" s="7">
        <v>15000</v>
      </c>
      <c r="D52" s="6">
        <v>77.176000000000002</v>
      </c>
    </row>
    <row r="53" spans="1:4" x14ac:dyDescent="0.2">
      <c r="A53" s="1" t="s">
        <v>4</v>
      </c>
      <c r="B53" s="1" t="s">
        <v>9</v>
      </c>
      <c r="C53" s="7">
        <v>15000</v>
      </c>
      <c r="D53" s="6">
        <v>44.734000000000002</v>
      </c>
    </row>
    <row r="54" spans="1:4" x14ac:dyDescent="0.2">
      <c r="A54" s="1" t="s">
        <v>6</v>
      </c>
      <c r="B54" s="1" t="s">
        <v>9</v>
      </c>
      <c r="C54" s="7">
        <v>15000</v>
      </c>
      <c r="D54" s="6">
        <v>0.47599999999999998</v>
      </c>
    </row>
    <row r="55" spans="1:4" x14ac:dyDescent="0.2">
      <c r="A55" s="1" t="s">
        <v>7</v>
      </c>
      <c r="B55" s="1" t="s">
        <v>9</v>
      </c>
      <c r="C55" s="7">
        <v>15000</v>
      </c>
      <c r="D55" s="6">
        <v>52.768999999999998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2025-11-15T16:28:58Z</dcterms:created>
  <dcterms:modified xsi:type="dcterms:W3CDTF">2025-11-15T16:58:43Z</dcterms:modified>
</cp:coreProperties>
</file>